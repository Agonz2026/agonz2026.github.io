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Reference" sheetId="2" state="visible" r:id="rId4"/>
    <sheet name="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Tool</author>
  </authors>
  <commentList>
    <comment ref="C39" authorId="0">
      <text>
        <r>
          <rPr>
            <sz val="10"/>
            <rFont val="Arial"/>
            <family val="2"/>
          </rPr>
          <t xml:space="preserve">Property damage $ is NOT added to the claim value. Low PD against high medicals signals a causation problem; severe PD supports causation and damages.</t>
        </r>
      </text>
    </comment>
    <comment ref="C52" authorId="0">
      <text>
        <r>
          <rPr>
            <sz val="10"/>
            <rFont val="Arial"/>
            <family val="2"/>
          </rPr>
          <t xml:space="preserve">Share of fault attributable to YOUR client (0.20 = 20%). Florida bars recovery above 50%.</t>
        </r>
      </text>
    </comment>
  </commentList>
</comments>
</file>

<file path=xl/sharedStrings.xml><?xml version="1.0" encoding="utf-8"?>
<sst xmlns="http://schemas.openxmlformats.org/spreadsheetml/2006/main" count="150" uniqueCount="140">
  <si>
    <t xml:space="preserve">PERSONAL INJURY CASE VALUATION CALCULATOR</t>
  </si>
  <si>
    <t xml:space="preserve">Florida  |  Hybrid multiplier + per-diem range  |  Blue cells = inputs. Edit only blue/yellow cells.</t>
  </si>
  <si>
    <t xml:space="preserve">CASE INFORMATION</t>
  </si>
  <si>
    <t xml:space="preserve">Client name</t>
  </si>
  <si>
    <t xml:space="preserve">Claim / file no.</t>
  </si>
  <si>
    <t xml:space="preserve">Date of loss</t>
  </si>
  <si>
    <t xml:space="preserve">Adjuster / carrier</t>
  </si>
  <si>
    <t xml:space="preserve">LOW</t>
  </si>
  <si>
    <t xml:space="preserve">HIGH</t>
  </si>
  <si>
    <t xml:space="preserve">1.  ECONOMIC DAMAGES (SPECIALS - recoverable)</t>
  </si>
  <si>
    <t xml:space="preserve">Past medical bills (billed)</t>
  </si>
  <si>
    <t xml:space="preserve">Future medical costs (estimated)</t>
  </si>
  <si>
    <t xml:space="preserve">Past lost wages</t>
  </si>
  <si>
    <t xml:space="preserve">Future lost earnings / earning capacity</t>
  </si>
  <si>
    <t xml:space="preserve">Other out-of-pocket (mileage, meds, devices)</t>
  </si>
  <si>
    <t xml:space="preserve">Total economic damages</t>
  </si>
  <si>
    <t xml:space="preserve">Medical specials (past + future)  - multiplier base</t>
  </si>
  <si>
    <t xml:space="preserve">2.  PAIN &amp; SUFFERING - METHOD A: MULTIPLIER</t>
  </si>
  <si>
    <t xml:space="preserve">Injury severity (choose)</t>
  </si>
  <si>
    <t xml:space="preserve">1 - Minor (soft tissue, full recovery)</t>
  </si>
  <si>
    <t xml:space="preserve">Suggested multiplier (from severity)</t>
  </si>
  <si>
    <t xml:space="preserve">low  /  high</t>
  </si>
  <si>
    <t xml:space="preserve">Override multiplier (optional)</t>
  </si>
  <si>
    <t xml:space="preserve">Leave blank to use suggested</t>
  </si>
  <si>
    <t xml:space="preserve">Multiplier used</t>
  </si>
  <si>
    <t xml:space="preserve">Pain &amp; suffering - Method A (low / high)</t>
  </si>
  <si>
    <t xml:space="preserve">3.  PAIN &amp; SUFFERING - METHOD B: PER DIEM</t>
  </si>
  <si>
    <t xml:space="preserve">Daily rate (low / high)</t>
  </si>
  <si>
    <t xml:space="preserve">Common: $150-$300/day</t>
  </si>
  <si>
    <t xml:space="preserve">Days of pain / impact</t>
  </si>
  <si>
    <t xml:space="preserve">Injury date to MMI, or treatment days</t>
  </si>
  <si>
    <t xml:space="preserve">Pain &amp; suffering - Method B (low / high)</t>
  </si>
  <si>
    <t xml:space="preserve">4.  BLENDED NON-ECONOMIC (BASE)</t>
  </si>
  <si>
    <t xml:space="preserve">Non-economic base (low / high)</t>
  </si>
  <si>
    <t xml:space="preserve">Method note</t>
  </si>
  <si>
    <t xml:space="preserve">If only one method is used, that method sets the range</t>
  </si>
  <si>
    <t xml:space="preserve">5.  CASE CHARACTERISTICS (adjust pain &amp; suffering)</t>
  </si>
  <si>
    <t xml:space="preserve">Permanent impairment rating (whole-person %)</t>
  </si>
  <si>
    <t xml:space="preserve">factor</t>
  </si>
  <si>
    <t xml:space="preserve">Client age (years)</t>
  </si>
  <si>
    <t xml:space="preserve">Prior accidents / injuries (choose)</t>
  </si>
  <si>
    <t xml:space="preserve">None / clean history</t>
  </si>
  <si>
    <t xml:space="preserve">Property damage $ (NOT recoverable - signal only)</t>
  </si>
  <si>
    <t xml:space="preserve">Used for causation check, not added to value</t>
  </si>
  <si>
    <t xml:space="preserve">Vehicle / impact severity (choose)</t>
  </si>
  <si>
    <t xml:space="preserve">Moderate - drivable with damage</t>
  </si>
  <si>
    <t xml:space="preserve">Causation check (PD vs. medicals)</t>
  </si>
  <si>
    <t xml:space="preserve">Composite non-economic modifier</t>
  </si>
  <si>
    <t xml:space="preserve">Impairment x age x prior x impact (capped 0.4x-2.0x)</t>
  </si>
  <si>
    <t xml:space="preserve">Florida permanency threshold check</t>
  </si>
  <si>
    <t xml:space="preserve">Adjusted non-economic (low / high)</t>
  </si>
  <si>
    <t xml:space="preserve">6.  GROSS CASE VALUE (before risk adjustments)</t>
  </si>
  <si>
    <t xml:space="preserve">Gross value (low / high)</t>
  </si>
  <si>
    <t xml:space="preserve">7.  RISK ADJUSTMENTS</t>
  </si>
  <si>
    <t xml:space="preserve">Liability strength (choose)</t>
  </si>
  <si>
    <t xml:space="preserve">Clear / strong</t>
  </si>
  <si>
    <t xml:space="preserve">Liability factor applied</t>
  </si>
  <si>
    <t xml:space="preserve">Client comparative fault %</t>
  </si>
  <si>
    <t xml:space="preserve">Florida: &gt;50% = NO recovery (2023 HB 837)</t>
  </si>
  <si>
    <t xml:space="preserve">Comparative-fault status</t>
  </si>
  <si>
    <t xml:space="preserve">Available policy limits (0 = unknown/none)</t>
  </si>
  <si>
    <t xml:space="preserve">Final value capped here if &gt; 0</t>
  </si>
  <si>
    <t xml:space="preserve">8.  ADJUSTED CASE VALUE  -&gt;  SETTLEMENT TARGET</t>
  </si>
  <si>
    <t xml:space="preserve">SETTLEMENT TARGET RANGE (low / high)</t>
  </si>
  <si>
    <t xml:space="preserve">Opening demand (target high + 20% cushion)</t>
  </si>
  <si>
    <t xml:space="preserve">Demand full value; don't concede fault in the demand</t>
  </si>
  <si>
    <t xml:space="preserve">Settlement floor (authority guide)</t>
  </si>
  <si>
    <t xml:space="preserve">Walk-away guidance; confirm with attorney</t>
  </si>
  <si>
    <t xml:space="preserve">9.  EVALUATE AN INSURANCE OFFER</t>
  </si>
  <si>
    <t xml:space="preserve">Insurer's offer</t>
  </si>
  <si>
    <t xml:space="preserve">Offer vs. target range</t>
  </si>
  <si>
    <t xml:space="preserve">Offer as % of target midpoint</t>
  </si>
  <si>
    <t xml:space="preserve">Gap to target low / high</t>
  </si>
  <si>
    <t xml:space="preserve">Estimate only - not legal advice. Property damage is shown for causation/severity only and is not part of the recoverable injury value. Valuation depends on venue, witnesses, client presentation, treatment gaps, prior injuries and policy stacking. Attorney reviews before any demand.</t>
  </si>
  <si>
    <t xml:space="preserve">Severity</t>
  </si>
  <si>
    <t xml:space="preserve">Mult Low</t>
  </si>
  <si>
    <t xml:space="preserve">Mult High</t>
  </si>
  <si>
    <t xml:space="preserve">Description</t>
  </si>
  <si>
    <t xml:space="preserve">Liability</t>
  </si>
  <si>
    <t xml:space="preserve">Factor</t>
  </si>
  <si>
    <t xml:space="preserve">Meaning</t>
  </si>
  <si>
    <t xml:space="preserve">Age from</t>
  </si>
  <si>
    <t xml:space="preserve">Bracket</t>
  </si>
  <si>
    <t xml:space="preserve">Prior history</t>
  </si>
  <si>
    <t xml:space="preserve">Vehicle / impact severity</t>
  </si>
  <si>
    <t xml:space="preserve">Sprains/strains, conservative care, no residuals</t>
  </si>
  <si>
    <t xml:space="preserve">Liability admitted or near-certain</t>
  </si>
  <si>
    <t xml:space="preserve">Under 18</t>
  </si>
  <si>
    <t xml:space="preserve">Severe - totaled / major impact</t>
  </si>
  <si>
    <t xml:space="preserve">2 - Moderate (treatment, minor residual)</t>
  </si>
  <si>
    <t xml:space="preserve">Injections, PT, some lasting discomfort</t>
  </si>
  <si>
    <t xml:space="preserve">Probable</t>
  </si>
  <si>
    <t xml:space="preserve">Good facts, minor disputes</t>
  </si>
  <si>
    <t xml:space="preserve">18-29</t>
  </si>
  <si>
    <t xml:space="preserve">Prior - unrelated body part</t>
  </si>
  <si>
    <t xml:space="preserve">3 - Serious (surgery / objective injury)</t>
  </si>
  <si>
    <t xml:space="preserve">Fracture, surgery, MRI-confirmed injury</t>
  </si>
  <si>
    <t xml:space="preserve">Disputed</t>
  </si>
  <si>
    <t xml:space="preserve">Genuine fact dispute on fault</t>
  </si>
  <si>
    <t xml:space="preserve">30-49</t>
  </si>
  <si>
    <t xml:space="preserve">Prior - same body part (documented)</t>
  </si>
  <si>
    <t xml:space="preserve">Minor - cosmetic / low impact</t>
  </si>
  <si>
    <t xml:space="preserve">4 - Severe (permanent / disfigurement)</t>
  </si>
  <si>
    <t xml:space="preserve">Permanent impairment, scarring, chronic pain</t>
  </si>
  <si>
    <t xml:space="preserve">Weak / questionable</t>
  </si>
  <si>
    <t xml:space="preserve">Liability is a real problem</t>
  </si>
  <si>
    <t xml:space="preserve">50-64</t>
  </si>
  <si>
    <t xml:space="preserve">Prior - same part + recent treatment</t>
  </si>
  <si>
    <t xml:space="preserve">5 - Catastrophic (disability, brain/spinal)</t>
  </si>
  <si>
    <t xml:space="preserve">TBI, paralysis, amputation, lifelong care</t>
  </si>
  <si>
    <t xml:space="preserve">65-79</t>
  </si>
  <si>
    <t xml:space="preserve">80+</t>
  </si>
  <si>
    <t xml:space="preserve">Impairment factor: 1 + (whole-person impairment % x 1.5), capped at 1.6</t>
  </si>
  <si>
    <t xml:space="preserve">Property damage is NOT a recoverable element of the BI claim - used only as a causation/severity signal.</t>
  </si>
  <si>
    <t xml:space="preserve">HOW TO USE THIS TOOL</t>
  </si>
  <si>
    <t xml:space="preserve">Purpose</t>
  </si>
  <si>
    <t xml:space="preserve">Quick, consistent first-pass valuation for preparing demands and evaluating opening offers. A starting point for attorney judgment - not a substitute for it.</t>
  </si>
  <si>
    <t xml:space="preserve">Step by step</t>
  </si>
  <si>
    <t xml:space="preserve">1. Fill the blue cells under ECONOMIC DAMAGES - past/future medicals, wages, out-of-pocket. These are the recoverable specials.</t>
  </si>
  <si>
    <t xml:space="preserve">2. Pick INJURY SEVERITY (yellow dropdown). The multiplier auto-fills; override only with a reason.</t>
  </si>
  <si>
    <t xml:space="preserve">3. Set the PER DIEM rate and number of pain/impact days (injury date to maximum medical improvement is typical).</t>
  </si>
  <si>
    <t xml:space="preserve">4. Enter CASE CHARACTERISTICS - impairment %, age, prior injuries, and property-damage/impact. These adjust pain &amp; suffering only.</t>
  </si>
  <si>
    <t xml:space="preserve">5. Choose LIABILITY STRENGTH, enter the client's COMPARATIVE FAULT %, and policy limits.</t>
  </si>
  <si>
    <t xml:space="preserve">6. Read the SETTLEMENT TARGET RANGE and OPENING DEMAND. Use section 9 to score any offer.</t>
  </si>
  <si>
    <t xml:space="preserve">Methodology</t>
  </si>
  <si>
    <t xml:space="preserve">Multiplier method: non-economic = medical specials x severity multiplier (1.5-10x). Per diem: daily rate x recovery days. The blended low is the lower of the two methods; the high is the higher.</t>
  </si>
  <si>
    <t xml:space="preserve">Property damage - important</t>
  </si>
  <si>
    <t xml:space="preserve">Property damage is NOT a recoverable element of the bodily-injury claim, so it is never added to the case value. It is used only as a causation and severity signal: low property damage against high medical bills flags a causation problem an adjuster will exploit; a totaled vehicle or severe impact makes causation and damages easier to prove and nudges the non-economic value up. The tool runs an automatic causation check comparing property damage to medical specials.</t>
  </si>
  <si>
    <t xml:space="preserve">Other case-characteristic modifiers</t>
  </si>
  <si>
    <t xml:space="preserve">Impairment: factor = 1 + (whole-person % x 1.5), capped 1.6x. Age: younger clients with permanent injuries endure P&amp;S longer, so age brackets scale value. Prior injuries: a prior injury to the SAME body part invites causation/apportionment defenses and reduces value. Impairment, age, prior history and impact severity multiply into one composite modifier (capped 0.4x-2.0x) applied to the non-economic range.</t>
  </si>
  <si>
    <t xml:space="preserve">Risk adjustments</t>
  </si>
  <si>
    <t xml:space="preserve">Gross value x liability factor (1.0 clear -&gt; 0.40 weak), then reduced by comparative fault %, then capped at policy limits if entered.</t>
  </si>
  <si>
    <t xml:space="preserve">Florida law notes</t>
  </si>
  <si>
    <t xml:space="preserve">Modified comparative negligence (Fla. Stat. 768.81, amended 2023 by HB 837): a plaintiff MORE THAN 50% at fault recovers nothing; at/below 50%, damages reduce by the fault %. The tool flags the bar automatically.</t>
  </si>
  <si>
    <t xml:space="preserve">No-fault / PIP for auto: $10,000 PIP covers initial medicals/wages. A bodily-injury claim generally requires meeting the permanent-injury threshold (Fla. Stat. 627.737) before non-economic damages are recoverable - the impairment input helps confirm this.</t>
  </si>
  <si>
    <t xml:space="preserve">No general statutory cap on non-economic damages in ordinary auto/PI cases. Consider UM/UIM and policy stacking when setting limits. The 2023 reforms also shortened the negligence statute of limitations to 2 years (causes accruing on/after 3/24/2023).</t>
  </si>
  <si>
    <t xml:space="preserve">Reference tables</t>
  </si>
  <si>
    <t xml:space="preserve">Severity, liability, age-bracket, prior-history and impact-severity factors all live on the 'Reference' tab. Adjust them to match your firm's playbook; the calculator updates automatically.</t>
  </si>
  <si>
    <t xml:space="preserve">Disclaimer</t>
  </si>
  <si>
    <t xml:space="preserve">Estimates only; not legal advice. Every case turns on its facts, venue, and the people involved. An attorney must review before any demand is sent or offer accepted.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</si>
</sst>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\x"/>
    <numFmt numFmtId="167" formatCode="#,##0"/>
    <numFmt numFmtId="168" formatCode="0.0%"/>
    <numFmt numFmtId="169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DE7"/>
        <bgColor rgb="FFFFFFFF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1" shrinkToFit="false"/>
      <protection locked="fals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1" shrinkToFit="false"/>
      <protection locked="false" hidden="false"/>
    </xf>
    <xf numFmtId="166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8" fillId="4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7" fontId="8" fillId="4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8" fillId="4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8" fillId="4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8" fillId="6" borderId="2" xfId="0" applyFont="true" applyBorder="true" applyAlignment="true" applyProtection="true">
      <alignment horizontal="general" vertical="bottom" textRotation="0" wrapText="false" indent="1" shrinkToFit="false"/>
      <protection locked="false" hidden="false"/>
    </xf>
    <xf numFmtId="164" fontId="11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4" min="3" style="1" width="18"/>
    <col collapsed="false" customWidth="true" hidden="false" outlineLevel="0" max="5" min="5" style="1" width="46"/>
  </cols>
  <sheetData>
    <row r="1" customFormat="false" ht="30" hidden="false" customHeight="true" outlineLevel="0" collapsed="false">
      <c r="B1" s="2" t="s">
        <v>0</v>
      </c>
      <c r="C1" s="2"/>
      <c r="D1" s="2"/>
      <c r="E1" s="2"/>
    </row>
    <row r="2" customFormat="false" ht="15" hidden="false" customHeight="true" outlineLevel="0" collapsed="false">
      <c r="B2" s="3" t="s">
        <v>1</v>
      </c>
      <c r="C2" s="3"/>
      <c r="D2" s="3"/>
      <c r="E2" s="3"/>
    </row>
    <row r="4" customFormat="false" ht="19.5" hidden="false" customHeight="true" outlineLevel="0" collapsed="false">
      <c r="B4" s="4" t="s">
        <v>2</v>
      </c>
      <c r="C4" s="4"/>
      <c r="D4" s="4"/>
      <c r="E4" s="4"/>
    </row>
    <row r="5" customFormat="false" ht="15" hidden="false" customHeight="true" outlineLevel="0" collapsed="false">
      <c r="B5" s="5" t="s">
        <v>3</v>
      </c>
      <c r="C5" s="6"/>
      <c r="D5" s="6"/>
      <c r="E5" s="6"/>
    </row>
    <row r="6" customFormat="false" ht="15" hidden="false" customHeight="true" outlineLevel="0" collapsed="false">
      <c r="B6" s="5" t="s">
        <v>4</v>
      </c>
      <c r="C6" s="6"/>
      <c r="D6" s="6"/>
      <c r="E6" s="6"/>
    </row>
    <row r="7" customFormat="false" ht="15" hidden="false" customHeight="true" outlineLevel="0" collapsed="false">
      <c r="B7" s="5" t="s">
        <v>5</v>
      </c>
      <c r="C7" s="6"/>
      <c r="D7" s="6"/>
      <c r="E7" s="6"/>
    </row>
    <row r="8" customFormat="false" ht="15" hidden="false" customHeight="true" outlineLevel="0" collapsed="false">
      <c r="B8" s="5" t="s">
        <v>6</v>
      </c>
      <c r="C8" s="6"/>
      <c r="D8" s="6"/>
      <c r="E8" s="6"/>
    </row>
    <row r="9" customFormat="false" ht="15" hidden="false" customHeight="true" outlineLevel="0" collapsed="false">
      <c r="C9" s="7" t="s">
        <v>7</v>
      </c>
      <c r="D9" s="7" t="s">
        <v>8</v>
      </c>
    </row>
    <row r="10" customFormat="false" ht="19.5" hidden="false" customHeight="true" outlineLevel="0" collapsed="false">
      <c r="B10" s="4" t="s">
        <v>9</v>
      </c>
      <c r="C10" s="4"/>
      <c r="D10" s="4"/>
      <c r="E10" s="4"/>
    </row>
    <row r="11" customFormat="false" ht="15" hidden="false" customHeight="true" outlineLevel="0" collapsed="false">
      <c r="B11" s="5" t="s">
        <v>10</v>
      </c>
      <c r="C11" s="8" t="n">
        <v>0</v>
      </c>
    </row>
    <row r="12" customFormat="false" ht="15" hidden="false" customHeight="true" outlineLevel="0" collapsed="false">
      <c r="B12" s="5" t="s">
        <v>11</v>
      </c>
      <c r="C12" s="8" t="n">
        <v>0</v>
      </c>
    </row>
    <row r="13" customFormat="false" ht="15" hidden="false" customHeight="true" outlineLevel="0" collapsed="false">
      <c r="B13" s="5" t="s">
        <v>12</v>
      </c>
      <c r="C13" s="8" t="n">
        <v>0</v>
      </c>
    </row>
    <row r="14" customFormat="false" ht="15" hidden="false" customHeight="true" outlineLevel="0" collapsed="false">
      <c r="B14" s="5" t="s">
        <v>13</v>
      </c>
      <c r="C14" s="8" t="n">
        <v>0</v>
      </c>
    </row>
    <row r="15" customFormat="false" ht="15" hidden="false" customHeight="true" outlineLevel="0" collapsed="false">
      <c r="B15" s="5" t="s">
        <v>14</v>
      </c>
      <c r="C15" s="8" t="n">
        <v>0</v>
      </c>
    </row>
    <row r="16" customFormat="false" ht="15" hidden="false" customHeight="true" outlineLevel="0" collapsed="false">
      <c r="B16" s="9" t="s">
        <v>15</v>
      </c>
      <c r="C16" s="10" t="n">
        <f aca="false">SUM(C11:C15)</f>
        <v>0</v>
      </c>
    </row>
    <row r="17" customFormat="false" ht="15" hidden="false" customHeight="true" outlineLevel="0" collapsed="false">
      <c r="B17" s="5" t="s">
        <v>16</v>
      </c>
      <c r="C17" s="11" t="n">
        <f aca="false">C11+C12</f>
        <v>0</v>
      </c>
    </row>
    <row r="19" customFormat="false" ht="19.5" hidden="false" customHeight="true" outlineLevel="0" collapsed="false">
      <c r="B19" s="4" t="s">
        <v>17</v>
      </c>
      <c r="C19" s="4"/>
      <c r="D19" s="4"/>
      <c r="E19" s="4"/>
    </row>
    <row r="20" customFormat="false" ht="15" hidden="false" customHeight="true" outlineLevel="0" collapsed="false">
      <c r="B20" s="5" t="s">
        <v>18</v>
      </c>
      <c r="C20" s="12" t="s">
        <v>19</v>
      </c>
      <c r="D20" s="12"/>
      <c r="E20" s="12"/>
    </row>
    <row r="21" customFormat="false" ht="15" hidden="false" customHeight="true" outlineLevel="0" collapsed="false">
      <c r="B21" s="5" t="s">
        <v>20</v>
      </c>
      <c r="C21" s="13" t="n">
        <f aca="false">VLOOKUP($C$20,Reference!$A$2:$C$6,2,FALSE())</f>
        <v>1.5</v>
      </c>
      <c r="D21" s="13" t="n">
        <f aca="false">VLOOKUP($C$20,Reference!$A$2:$C$6,3,FALSE())</f>
        <v>2.5</v>
      </c>
      <c r="E21" s="14" t="s">
        <v>21</v>
      </c>
    </row>
    <row r="22" customFormat="false" ht="15" hidden="false" customHeight="true" outlineLevel="0" collapsed="false">
      <c r="B22" s="5" t="s">
        <v>22</v>
      </c>
      <c r="C22" s="15"/>
      <c r="D22" s="15"/>
      <c r="E22" s="16" t="s">
        <v>23</v>
      </c>
    </row>
    <row r="23" customFormat="false" ht="15" hidden="false" customHeight="true" outlineLevel="0" collapsed="false">
      <c r="B23" s="5" t="s">
        <v>24</v>
      </c>
      <c r="C23" s="13" t="n">
        <f aca="false">IF(C22="",C21,C22)</f>
        <v>1.5</v>
      </c>
      <c r="D23" s="13" t="n">
        <f aca="false">IF(D22="",D21,D22)</f>
        <v>2.5</v>
      </c>
    </row>
    <row r="24" customFormat="false" ht="15" hidden="false" customHeight="true" outlineLevel="0" collapsed="false">
      <c r="B24" s="5" t="s">
        <v>25</v>
      </c>
      <c r="C24" s="11" t="n">
        <f aca="false">$C$17*C23</f>
        <v>0</v>
      </c>
      <c r="D24" s="11" t="n">
        <f aca="false">$C$17*D23</f>
        <v>0</v>
      </c>
    </row>
    <row r="26" customFormat="false" ht="19.5" hidden="false" customHeight="true" outlineLevel="0" collapsed="false">
      <c r="B26" s="4" t="s">
        <v>26</v>
      </c>
      <c r="C26" s="4"/>
      <c r="D26" s="4"/>
      <c r="E26" s="4"/>
    </row>
    <row r="27" customFormat="false" ht="15" hidden="false" customHeight="true" outlineLevel="0" collapsed="false">
      <c r="B27" s="5" t="s">
        <v>27</v>
      </c>
      <c r="C27" s="8" t="n">
        <v>150</v>
      </c>
      <c r="D27" s="8" t="n">
        <v>300</v>
      </c>
      <c r="E27" s="16" t="s">
        <v>28</v>
      </c>
    </row>
    <row r="28" customFormat="false" ht="15" hidden="false" customHeight="true" outlineLevel="0" collapsed="false">
      <c r="B28" s="5" t="s">
        <v>29</v>
      </c>
      <c r="C28" s="17" t="n">
        <v>0</v>
      </c>
      <c r="E28" s="16" t="s">
        <v>30</v>
      </c>
    </row>
    <row r="29" customFormat="false" ht="15" hidden="false" customHeight="true" outlineLevel="0" collapsed="false">
      <c r="B29" s="5" t="s">
        <v>31</v>
      </c>
      <c r="C29" s="11" t="n">
        <f aca="false">C27*$C$28</f>
        <v>0</v>
      </c>
      <c r="D29" s="11" t="n">
        <f aca="false">D27*$C$28</f>
        <v>0</v>
      </c>
    </row>
    <row r="31" customFormat="false" ht="19.5" hidden="false" customHeight="true" outlineLevel="0" collapsed="false">
      <c r="B31" s="4" t="s">
        <v>32</v>
      </c>
      <c r="C31" s="4"/>
      <c r="D31" s="4"/>
      <c r="E31" s="4"/>
    </row>
    <row r="32" customFormat="false" ht="15" hidden="false" customHeight="true" outlineLevel="0" collapsed="false">
      <c r="B32" s="9" t="s">
        <v>33</v>
      </c>
      <c r="C32" s="10" t="n">
        <f aca="false">IF(AND(C24&gt;0,C29&gt;0),MIN(C24,C29),MAX(C24,C29))</f>
        <v>0</v>
      </c>
      <c r="D32" s="10" t="n">
        <f aca="false">MAX(D24,D29)</f>
        <v>0</v>
      </c>
    </row>
    <row r="33" customFormat="false" ht="15" hidden="false" customHeight="true" outlineLevel="0" collapsed="false">
      <c r="B33" s="5" t="s">
        <v>34</v>
      </c>
      <c r="E33" s="16" t="s">
        <v>35</v>
      </c>
    </row>
    <row r="35" customFormat="false" ht="19.5" hidden="false" customHeight="true" outlineLevel="0" collapsed="false">
      <c r="B35" s="4" t="s">
        <v>36</v>
      </c>
      <c r="C35" s="4"/>
      <c r="D35" s="4"/>
      <c r="E35" s="4"/>
    </row>
    <row r="36" customFormat="false" ht="15" hidden="false" customHeight="true" outlineLevel="0" collapsed="false">
      <c r="B36" s="5" t="s">
        <v>37</v>
      </c>
      <c r="C36" s="18" t="n">
        <v>0</v>
      </c>
      <c r="D36" s="13" t="n">
        <f aca="false">1+MIN(C36,0.4)*1.5</f>
        <v>1</v>
      </c>
      <c r="E36" s="14" t="s">
        <v>38</v>
      </c>
    </row>
    <row r="37" customFormat="false" ht="15" hidden="false" customHeight="true" outlineLevel="0" collapsed="false">
      <c r="B37" s="5" t="s">
        <v>39</v>
      </c>
      <c r="C37" s="19" t="n">
        <v>40</v>
      </c>
      <c r="D37" s="13" t="n">
        <f aca="false">VLOOKUP(C37,Reference!$J$2:$K$7,2,TRUE())</f>
        <v>1.05</v>
      </c>
      <c r="E37" s="14" t="s">
        <v>38</v>
      </c>
    </row>
    <row r="38" customFormat="false" ht="15" hidden="false" customHeight="true" outlineLevel="0" collapsed="false">
      <c r="B38" s="5" t="s">
        <v>40</v>
      </c>
      <c r="C38" s="20" t="s">
        <v>41</v>
      </c>
      <c r="D38" s="13" t="n">
        <f aca="false">VLOOKUP(C38,Reference!$N$2:$O$5,2,FALSE())</f>
        <v>1</v>
      </c>
      <c r="E38" s="14" t="s">
        <v>38</v>
      </c>
    </row>
    <row r="39" customFormat="false" ht="15" hidden="false" customHeight="true" outlineLevel="0" collapsed="false">
      <c r="B39" s="5" t="s">
        <v>42</v>
      </c>
      <c r="C39" s="8" t="n">
        <v>0</v>
      </c>
      <c r="E39" s="16" t="s">
        <v>43</v>
      </c>
    </row>
    <row r="40" customFormat="false" ht="15" hidden="false" customHeight="true" outlineLevel="0" collapsed="false">
      <c r="B40" s="5" t="s">
        <v>44</v>
      </c>
      <c r="C40" s="20" t="s">
        <v>45</v>
      </c>
      <c r="D40" s="13" t="n">
        <f aca="false">VLOOKUP(C40,Reference!$Q$2:$R$4,2,FALSE())</f>
        <v>1</v>
      </c>
      <c r="E40" s="14" t="s">
        <v>38</v>
      </c>
    </row>
    <row r="41" customFormat="false" ht="15" hidden="false" customHeight="true" outlineLevel="0" collapsed="false">
      <c r="B41" s="5" t="s">
        <v>46</v>
      </c>
      <c r="C41" s="21" t="str">
        <f aca="false">IF(AND($C$39&gt;0,$C$17&gt;0,$C$39&lt;$C$17*0.15),"LOW property damage vs. high medicals - causation EXPOSURE",IF($C$40="Severe - totaled / major impact","High impact - causation &amp; damages well-supported",IF($C$39=0,"Enter PD to run causation check","Property damage consistent with claimed injuries")))</f>
        <v>Enter PD to run causation check</v>
      </c>
      <c r="D41" s="21"/>
      <c r="E41" s="21"/>
    </row>
    <row r="42" customFormat="false" ht="15" hidden="false" customHeight="true" outlineLevel="0" collapsed="false">
      <c r="B42" s="9" t="s">
        <v>47</v>
      </c>
      <c r="C42" s="22" t="n">
        <f aca="false">MAX(0.4,MIN(2,D36*D37*D38*D40))</f>
        <v>1.05</v>
      </c>
      <c r="E42" s="16" t="s">
        <v>48</v>
      </c>
    </row>
    <row r="43" customFormat="false" ht="15" hidden="false" customHeight="true" outlineLevel="0" collapsed="false">
      <c r="B43" s="5" t="s">
        <v>49</v>
      </c>
      <c r="C43" s="21" t="str">
        <f aca="false">IF(C36&gt;0,"Impairment shown - non-economic threshold likely met","No impairment % - confirm permanency threshold (Fla. Stat. 627.737)")</f>
        <v>No impairment % - confirm permanency threshold (Fla. Stat. 627.737)</v>
      </c>
      <c r="D43" s="21"/>
      <c r="E43" s="21"/>
    </row>
    <row r="44" customFormat="false" ht="15" hidden="false" customHeight="true" outlineLevel="0" collapsed="false">
      <c r="B44" s="9" t="s">
        <v>50</v>
      </c>
      <c r="C44" s="10" t="n">
        <f aca="false">C32*$C$42</f>
        <v>0</v>
      </c>
      <c r="D44" s="10" t="n">
        <f aca="false">D32*$C$42</f>
        <v>0</v>
      </c>
    </row>
    <row r="46" customFormat="false" ht="19.5" hidden="false" customHeight="true" outlineLevel="0" collapsed="false">
      <c r="B46" s="4" t="s">
        <v>51</v>
      </c>
      <c r="C46" s="4"/>
      <c r="D46" s="4"/>
      <c r="E46" s="4"/>
    </row>
    <row r="47" customFormat="false" ht="15" hidden="false" customHeight="true" outlineLevel="0" collapsed="false">
      <c r="B47" s="9" t="s">
        <v>52</v>
      </c>
      <c r="C47" s="10" t="n">
        <f aca="false">$C$16+C44</f>
        <v>0</v>
      </c>
      <c r="D47" s="10" t="n">
        <f aca="false">$C$16+D44</f>
        <v>0</v>
      </c>
    </row>
    <row r="49" customFormat="false" ht="19.5" hidden="false" customHeight="true" outlineLevel="0" collapsed="false">
      <c r="B49" s="4" t="s">
        <v>53</v>
      </c>
      <c r="C49" s="4"/>
      <c r="D49" s="4"/>
      <c r="E49" s="4"/>
    </row>
    <row r="50" customFormat="false" ht="15" hidden="false" customHeight="true" outlineLevel="0" collapsed="false">
      <c r="B50" s="5" t="s">
        <v>54</v>
      </c>
      <c r="C50" s="12" t="s">
        <v>55</v>
      </c>
      <c r="D50" s="12"/>
      <c r="E50" s="12"/>
    </row>
    <row r="51" customFormat="false" ht="15" hidden="false" customHeight="true" outlineLevel="0" collapsed="false">
      <c r="B51" s="5" t="s">
        <v>56</v>
      </c>
      <c r="C51" s="23" t="n">
        <f aca="false">VLOOKUP($C$50,Reference!$F$2:$G$5,2,FALSE())</f>
        <v>1</v>
      </c>
    </row>
    <row r="52" customFormat="false" ht="15" hidden="false" customHeight="true" outlineLevel="0" collapsed="false">
      <c r="B52" s="5" t="s">
        <v>57</v>
      </c>
      <c r="C52" s="18" t="n">
        <v>0</v>
      </c>
      <c r="E52" s="16" t="s">
        <v>58</v>
      </c>
    </row>
    <row r="53" customFormat="false" ht="15" hidden="false" customHeight="true" outlineLevel="0" collapsed="false">
      <c r="B53" s="5" t="s">
        <v>59</v>
      </c>
      <c r="C53" s="21" t="str">
        <f aca="false">IF(C52&gt;0.5,"BARRED - client &gt;50% at fault, no recovery in FL","OK - recovery reduced by fault %")</f>
        <v>OK - recovery reduced by fault %</v>
      </c>
      <c r="D53" s="21"/>
      <c r="E53" s="21"/>
    </row>
    <row r="54" customFormat="false" ht="15" hidden="false" customHeight="true" outlineLevel="0" collapsed="false">
      <c r="B54" s="5" t="s">
        <v>60</v>
      </c>
      <c r="C54" s="8" t="n">
        <v>0</v>
      </c>
      <c r="E54" s="16" t="s">
        <v>61</v>
      </c>
    </row>
    <row r="56" customFormat="false" ht="19.5" hidden="false" customHeight="true" outlineLevel="0" collapsed="false">
      <c r="B56" s="4" t="s">
        <v>62</v>
      </c>
      <c r="C56" s="4"/>
      <c r="D56" s="4"/>
      <c r="E56" s="4"/>
    </row>
    <row r="57" customFormat="false" ht="19.5" hidden="false" customHeight="true" outlineLevel="0" collapsed="false">
      <c r="B57" s="9" t="s">
        <v>63</v>
      </c>
      <c r="C57" s="24" t="n">
        <f aca="false">IF($C$52&gt;0.5,0,IF($C$54&gt;0,MIN(C47*$C$51*(1-$C$52),$C$54),C47*$C$51*(1-$C$52)))</f>
        <v>0</v>
      </c>
      <c r="D57" s="24" t="n">
        <f aca="false">IF($C$52&gt;0.5,0,IF($C$54&gt;0,MIN(D47*$C$51*(1-$C$52),$C$54),D47*$C$51*(1-$C$52)))</f>
        <v>0</v>
      </c>
    </row>
    <row r="58" customFormat="false" ht="15" hidden="false" customHeight="true" outlineLevel="0" collapsed="false">
      <c r="B58" s="9" t="s">
        <v>64</v>
      </c>
      <c r="C58" s="25" t="n">
        <f aca="false">D47*1.2</f>
        <v>0</v>
      </c>
      <c r="E58" s="16" t="s">
        <v>65</v>
      </c>
    </row>
    <row r="59" customFormat="false" ht="15" hidden="false" customHeight="true" outlineLevel="0" collapsed="false">
      <c r="B59" s="5" t="s">
        <v>66</v>
      </c>
      <c r="C59" s="11" t="n">
        <f aca="false">C57</f>
        <v>0</v>
      </c>
      <c r="E59" s="16" t="s">
        <v>67</v>
      </c>
    </row>
    <row r="61" customFormat="false" ht="19.5" hidden="false" customHeight="true" outlineLevel="0" collapsed="false">
      <c r="B61" s="4" t="s">
        <v>68</v>
      </c>
      <c r="C61" s="4"/>
      <c r="D61" s="4"/>
      <c r="E61" s="4"/>
    </row>
    <row r="62" customFormat="false" ht="15" hidden="false" customHeight="true" outlineLevel="0" collapsed="false">
      <c r="B62" s="5" t="s">
        <v>69</v>
      </c>
      <c r="C62" s="8"/>
    </row>
    <row r="63" customFormat="false" ht="15" hidden="false" customHeight="true" outlineLevel="0" collapsed="false">
      <c r="B63" s="5" t="s">
        <v>70</v>
      </c>
      <c r="C63" s="21" t="str">
        <f aca="false">IF(C62="","- enter offer above -",IF(C62&lt;C57,"BELOW target - counter high",IF(C62&gt;D57,"AT/ABOVE target - strong offer","WITHIN target range")))</f>
        <v>- enter offer above -</v>
      </c>
      <c r="D63" s="21"/>
      <c r="E63" s="21"/>
    </row>
    <row r="64" customFormat="false" ht="15" hidden="false" customHeight="true" outlineLevel="0" collapsed="false">
      <c r="B64" s="5" t="s">
        <v>71</v>
      </c>
      <c r="C64" s="26" t="str">
        <f aca="false">IF(C62="","",C62/((C57+D57)/2))</f>
        <v/>
      </c>
    </row>
    <row r="65" customFormat="false" ht="15" hidden="false" customHeight="true" outlineLevel="0" collapsed="false">
      <c r="B65" s="5" t="s">
        <v>72</v>
      </c>
      <c r="C65" s="11" t="str">
        <f aca="false">IF(C62="","",C57-C62)</f>
        <v/>
      </c>
      <c r="D65" s="11" t="str">
        <f aca="false">IF(C62="","",D57-C62)</f>
        <v/>
      </c>
    </row>
    <row r="67" customFormat="false" ht="39.75" hidden="false" customHeight="true" outlineLevel="0" collapsed="false">
      <c r="B67" s="27" t="s">
        <v>73</v>
      </c>
      <c r="C67" s="27"/>
      <c r="D67" s="27"/>
      <c r="E67" s="27"/>
    </row>
  </sheetData>
  <sheetProtection sheet="true" password="cf0d"/>
  <mergeCells count="23">
    <mergeCell ref="B1:E1"/>
    <mergeCell ref="B2:E2"/>
    <mergeCell ref="B4:E4"/>
    <mergeCell ref="C5:E5"/>
    <mergeCell ref="C6:E6"/>
    <mergeCell ref="C7:E7"/>
    <mergeCell ref="C8:E8"/>
    <mergeCell ref="B10:E10"/>
    <mergeCell ref="B19:E19"/>
    <mergeCell ref="C20:E20"/>
    <mergeCell ref="B26:E26"/>
    <mergeCell ref="B31:E31"/>
    <mergeCell ref="B35:E35"/>
    <mergeCell ref="C41:E41"/>
    <mergeCell ref="C43:E43"/>
    <mergeCell ref="B46:E46"/>
    <mergeCell ref="B49:E49"/>
    <mergeCell ref="C50:E50"/>
    <mergeCell ref="C53:E53"/>
    <mergeCell ref="B56:E56"/>
    <mergeCell ref="B61:E61"/>
    <mergeCell ref="C63:E63"/>
    <mergeCell ref="B67:E67"/>
  </mergeCells>
  <dataValidations count="4">
    <dataValidation allowBlank="false" errorStyle="stop" operator="between" showDropDown="false" showErrorMessage="false" showInputMessage="false" sqref="C20" type="list">
      <formula1>Reference!$A$2:$A$6</formula1>
      <formula2>0</formula2>
    </dataValidation>
    <dataValidation allowBlank="false" errorStyle="stop" operator="between" showDropDown="false" showErrorMessage="false" showInputMessage="false" sqref="C50" type="list">
      <formula1>Reference!$F$2:$F$5</formula1>
      <formula2>0</formula2>
    </dataValidation>
    <dataValidation allowBlank="false" errorStyle="stop" operator="between" showDropDown="false" showErrorMessage="false" showInputMessage="false" sqref="C38" type="list">
      <formula1>Reference!$N$2:$N$5</formula1>
      <formula2>0</formula2>
    </dataValidation>
    <dataValidation allowBlank="false" errorStyle="stop" operator="between" showDropDown="false" showErrorMessage="false" showInputMessage="false" sqref="C40" type="list">
      <formula1>Reference!$Q$2:$Q$4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4" style="1" width="42"/>
    <col collapsed="false" customWidth="true" hidden="false" outlineLevel="0" max="6" min="6" style="1" width="20"/>
    <col collapsed="false" customWidth="true" hidden="false" outlineLevel="0" max="8" min="8" style="1" width="38"/>
    <col collapsed="false" customWidth="true" hidden="false" outlineLevel="0" max="12" min="12" style="1" width="12"/>
    <col collapsed="false" customWidth="true" hidden="false" outlineLevel="0" max="14" min="14" style="1" width="34"/>
    <col collapsed="false" customWidth="true" hidden="false" outlineLevel="0" max="17" min="17" style="1" width="32"/>
  </cols>
  <sheetData>
    <row r="1" customFormat="false" ht="15" hidden="false" customHeight="true" outlineLevel="0" collapsed="false">
      <c r="A1" s="28" t="s">
        <v>74</v>
      </c>
      <c r="B1" s="28" t="s">
        <v>75</v>
      </c>
      <c r="C1" s="28" t="s">
        <v>76</v>
      </c>
      <c r="D1" s="28" t="s">
        <v>77</v>
      </c>
      <c r="F1" s="28" t="s">
        <v>78</v>
      </c>
      <c r="G1" s="28" t="s">
        <v>79</v>
      </c>
      <c r="H1" s="28" t="s">
        <v>80</v>
      </c>
      <c r="J1" s="28" t="s">
        <v>81</v>
      </c>
      <c r="K1" s="28" t="s">
        <v>79</v>
      </c>
      <c r="L1" s="28" t="s">
        <v>82</v>
      </c>
      <c r="N1" s="28" t="s">
        <v>83</v>
      </c>
      <c r="O1" s="28" t="s">
        <v>79</v>
      </c>
      <c r="Q1" s="28" t="s">
        <v>84</v>
      </c>
      <c r="R1" s="28" t="s">
        <v>79</v>
      </c>
    </row>
    <row r="2" customFormat="false" ht="15" hidden="false" customHeight="true" outlineLevel="0" collapsed="false">
      <c r="A2" s="1" t="s">
        <v>19</v>
      </c>
      <c r="B2" s="1" t="n">
        <v>1.5</v>
      </c>
      <c r="C2" s="1" t="n">
        <v>2.5</v>
      </c>
      <c r="D2" s="1" t="s">
        <v>85</v>
      </c>
      <c r="F2" s="1" t="s">
        <v>55</v>
      </c>
      <c r="G2" s="1" t="n">
        <v>1</v>
      </c>
      <c r="H2" s="1" t="s">
        <v>86</v>
      </c>
      <c r="J2" s="1" t="n">
        <v>0</v>
      </c>
      <c r="K2" s="1" t="n">
        <v>1.15</v>
      </c>
      <c r="L2" s="1" t="s">
        <v>87</v>
      </c>
      <c r="N2" s="1" t="s">
        <v>41</v>
      </c>
      <c r="O2" s="1" t="n">
        <v>1</v>
      </c>
      <c r="Q2" s="1" t="s">
        <v>88</v>
      </c>
      <c r="R2" s="1" t="n">
        <v>1.1</v>
      </c>
    </row>
    <row r="3" customFormat="false" ht="15" hidden="false" customHeight="true" outlineLevel="0" collapsed="false">
      <c r="A3" s="1" t="s">
        <v>89</v>
      </c>
      <c r="B3" s="1" t="n">
        <v>2.5</v>
      </c>
      <c r="C3" s="1" t="n">
        <v>3.5</v>
      </c>
      <c r="D3" s="1" t="s">
        <v>90</v>
      </c>
      <c r="F3" s="1" t="s">
        <v>91</v>
      </c>
      <c r="G3" s="1" t="n">
        <v>0.85</v>
      </c>
      <c r="H3" s="1" t="s">
        <v>92</v>
      </c>
      <c r="J3" s="1" t="n">
        <v>18</v>
      </c>
      <c r="K3" s="1" t="n">
        <v>1.15</v>
      </c>
      <c r="L3" s="1" t="s">
        <v>93</v>
      </c>
      <c r="N3" s="1" t="s">
        <v>94</v>
      </c>
      <c r="O3" s="1" t="n">
        <v>0.97</v>
      </c>
      <c r="Q3" s="1" t="s">
        <v>45</v>
      </c>
      <c r="R3" s="1" t="n">
        <v>1</v>
      </c>
    </row>
    <row r="4" customFormat="false" ht="15" hidden="false" customHeight="true" outlineLevel="0" collapsed="false">
      <c r="A4" s="1" t="s">
        <v>95</v>
      </c>
      <c r="B4" s="1" t="n">
        <v>3.5</v>
      </c>
      <c r="C4" s="1" t="n">
        <v>4.5</v>
      </c>
      <c r="D4" s="1" t="s">
        <v>96</v>
      </c>
      <c r="F4" s="1" t="s">
        <v>97</v>
      </c>
      <c r="G4" s="1" t="n">
        <v>0.65</v>
      </c>
      <c r="H4" s="1" t="s">
        <v>98</v>
      </c>
      <c r="J4" s="1" t="n">
        <v>30</v>
      </c>
      <c r="K4" s="1" t="n">
        <v>1.05</v>
      </c>
      <c r="L4" s="1" t="s">
        <v>99</v>
      </c>
      <c r="N4" s="1" t="s">
        <v>100</v>
      </c>
      <c r="O4" s="1" t="n">
        <v>0.8</v>
      </c>
      <c r="Q4" s="1" t="s">
        <v>101</v>
      </c>
      <c r="R4" s="1" t="n">
        <v>0.85</v>
      </c>
    </row>
    <row r="5" customFormat="false" ht="15" hidden="false" customHeight="true" outlineLevel="0" collapsed="false">
      <c r="A5" s="1" t="s">
        <v>102</v>
      </c>
      <c r="B5" s="1" t="n">
        <v>4.5</v>
      </c>
      <c r="C5" s="1" t="n">
        <v>6</v>
      </c>
      <c r="D5" s="1" t="s">
        <v>103</v>
      </c>
      <c r="F5" s="1" t="s">
        <v>104</v>
      </c>
      <c r="G5" s="1" t="n">
        <v>0.4</v>
      </c>
      <c r="H5" s="1" t="s">
        <v>105</v>
      </c>
      <c r="J5" s="1" t="n">
        <v>50</v>
      </c>
      <c r="K5" s="1" t="n">
        <v>1</v>
      </c>
      <c r="L5" s="1" t="s">
        <v>106</v>
      </c>
      <c r="N5" s="1" t="s">
        <v>107</v>
      </c>
      <c r="O5" s="1" t="n">
        <v>0.7</v>
      </c>
    </row>
    <row r="6" customFormat="false" ht="15" hidden="false" customHeight="true" outlineLevel="0" collapsed="false">
      <c r="A6" s="1" t="s">
        <v>108</v>
      </c>
      <c r="B6" s="1" t="n">
        <v>5</v>
      </c>
      <c r="C6" s="1" t="n">
        <v>10</v>
      </c>
      <c r="D6" s="1" t="s">
        <v>109</v>
      </c>
      <c r="J6" s="1" t="n">
        <v>65</v>
      </c>
      <c r="K6" s="1" t="n">
        <v>0.92</v>
      </c>
      <c r="L6" s="1" t="s">
        <v>110</v>
      </c>
    </row>
    <row r="7" customFormat="false" ht="15" hidden="false" customHeight="true" outlineLevel="0" collapsed="false">
      <c r="J7" s="1" t="n">
        <v>80</v>
      </c>
      <c r="K7" s="1" t="n">
        <v>0.85</v>
      </c>
      <c r="L7" s="1" t="s">
        <v>111</v>
      </c>
    </row>
    <row r="8" customFormat="false" ht="15" hidden="false" customHeight="true" outlineLevel="0" collapsed="false">
      <c r="A8" s="29" t="s">
        <v>112</v>
      </c>
    </row>
    <row r="9" customFormat="false" ht="15" hidden="false" customHeight="true" outlineLevel="0" collapsed="false">
      <c r="A9" s="29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0"/>
  </cols>
  <sheetData>
    <row r="1" customFormat="false" ht="17.25" hidden="false" customHeight="true" outlineLevel="0" collapsed="false">
      <c r="B1" s="30" t="s">
        <v>114</v>
      </c>
    </row>
    <row r="3" customFormat="false" ht="18" hidden="false" customHeight="true" outlineLevel="0" collapsed="false">
      <c r="B3" s="31" t="s">
        <v>115</v>
      </c>
    </row>
    <row r="4" customFormat="false" ht="30" hidden="false" customHeight="true" outlineLevel="0" collapsed="false">
      <c r="B4" s="32" t="s">
        <v>116</v>
      </c>
    </row>
    <row r="5" customFormat="false" ht="18" hidden="false" customHeight="true" outlineLevel="0" collapsed="false">
      <c r="B5" s="31" t="s">
        <v>117</v>
      </c>
    </row>
    <row r="6" customFormat="false" ht="30" hidden="false" customHeight="true" outlineLevel="0" collapsed="false">
      <c r="B6" s="32" t="s">
        <v>118</v>
      </c>
    </row>
    <row r="7" customFormat="false" ht="30" hidden="false" customHeight="true" outlineLevel="0" collapsed="false">
      <c r="B7" s="32" t="s">
        <v>119</v>
      </c>
    </row>
    <row r="8" customFormat="false" ht="30" hidden="false" customHeight="true" outlineLevel="0" collapsed="false">
      <c r="B8" s="32" t="s">
        <v>120</v>
      </c>
    </row>
    <row r="9" customFormat="false" ht="30" hidden="false" customHeight="true" outlineLevel="0" collapsed="false">
      <c r="B9" s="32" t="s">
        <v>121</v>
      </c>
    </row>
    <row r="10" customFormat="false" ht="30" hidden="false" customHeight="true" outlineLevel="0" collapsed="false">
      <c r="B10" s="32" t="s">
        <v>122</v>
      </c>
    </row>
    <row r="11" customFormat="false" ht="30" hidden="false" customHeight="true" outlineLevel="0" collapsed="false">
      <c r="B11" s="32" t="s">
        <v>123</v>
      </c>
    </row>
    <row r="12" customFormat="false" ht="18" hidden="false" customHeight="true" outlineLevel="0" collapsed="false">
      <c r="B12" s="31" t="s">
        <v>124</v>
      </c>
    </row>
    <row r="13" customFormat="false" ht="30" hidden="false" customHeight="true" outlineLevel="0" collapsed="false">
      <c r="B13" s="32" t="s">
        <v>125</v>
      </c>
    </row>
    <row r="14" customFormat="false" ht="18" hidden="false" customHeight="true" outlineLevel="0" collapsed="false">
      <c r="B14" s="31" t="s">
        <v>126</v>
      </c>
    </row>
    <row r="15" customFormat="false" ht="30" hidden="false" customHeight="true" outlineLevel="0" collapsed="false">
      <c r="B15" s="32" t="s">
        <v>127</v>
      </c>
    </row>
    <row r="16" customFormat="false" ht="18" hidden="false" customHeight="true" outlineLevel="0" collapsed="false">
      <c r="B16" s="31" t="s">
        <v>128</v>
      </c>
    </row>
    <row r="17" customFormat="false" ht="30" hidden="false" customHeight="true" outlineLevel="0" collapsed="false">
      <c r="B17" s="32" t="s">
        <v>129</v>
      </c>
    </row>
    <row r="18" customFormat="false" ht="18" hidden="false" customHeight="true" outlineLevel="0" collapsed="false">
      <c r="B18" s="31" t="s">
        <v>130</v>
      </c>
    </row>
    <row r="19" customFormat="false" ht="30" hidden="false" customHeight="true" outlineLevel="0" collapsed="false">
      <c r="B19" s="32" t="s">
        <v>131</v>
      </c>
    </row>
    <row r="20" customFormat="false" ht="18" hidden="false" customHeight="true" outlineLevel="0" collapsed="false">
      <c r="B20" s="31" t="s">
        <v>132</v>
      </c>
    </row>
    <row r="21" customFormat="false" ht="30" hidden="false" customHeight="true" outlineLevel="0" collapsed="false">
      <c r="B21" s="32" t="s">
        <v>133</v>
      </c>
    </row>
    <row r="22" customFormat="false" ht="30" hidden="false" customHeight="true" outlineLevel="0" collapsed="false">
      <c r="B22" s="32" t="s">
        <v>134</v>
      </c>
    </row>
    <row r="23" customFormat="false" ht="30" hidden="false" customHeight="true" outlineLevel="0" collapsed="false">
      <c r="B23" s="32" t="s">
        <v>135</v>
      </c>
    </row>
    <row r="24" customFormat="false" ht="18" hidden="false" customHeight="true" outlineLevel="0" collapsed="false">
      <c r="B24" s="31" t="s">
        <v>136</v>
      </c>
    </row>
    <row r="25" customFormat="false" ht="30" hidden="false" customHeight="true" outlineLevel="0" collapsed="false">
      <c r="B25" s="32" t="s">
        <v>137</v>
      </c>
    </row>
    <row r="26" customFormat="false" ht="18" hidden="false" customHeight="true" outlineLevel="0" collapsed="false">
      <c r="B26" s="31" t="s">
        <v>138</v>
      </c>
    </row>
    <row r="27" customFormat="false" ht="27.75" hidden="false" customHeight="true" outlineLevel="0" collapsed="false">
      <c r="B27" s="33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2026-06-10T16:02:35Z</dcterms:created>
  <dc:creator>openpyxl</dc:creator>
  <dc:description/>
  <dc:language>en-US</dc:language>
  <cp:lastModifiedBy/>
  <dcterms:modified xsi:type="dcterms:W3CDTF">2026-06-10T16:02:37Z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